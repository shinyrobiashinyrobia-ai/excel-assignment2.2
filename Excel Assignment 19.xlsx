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c1512f3298b0326/Desktop/"/>
    </mc:Choice>
  </mc:AlternateContent>
  <xr:revisionPtr revIDLastSave="82" documentId="8_{E4C78295-1E1D-4D8B-8D59-9ED1938985D6}" xr6:coauthVersionLast="47" xr6:coauthVersionMax="47" xr10:uidLastSave="{713D6A2C-6C2F-46A4-A6B4-B8F784317BF4}"/>
  <bookViews>
    <workbookView xWindow="-110" yWindow="-110" windowWidth="19420" windowHeight="11500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M29" i="1"/>
  <c r="H3" i="1"/>
  <c r="H2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P2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N33" i="1"/>
  <c r="N26" i="1"/>
  <c r="N17" i="1"/>
  <c r="N11" i="1"/>
</calcChain>
</file>

<file path=xl/sharedStrings.xml><?xml version="1.0" encoding="utf-8"?>
<sst xmlns="http://schemas.openxmlformats.org/spreadsheetml/2006/main" count="183" uniqueCount="134">
  <si>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</si>
  <si>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</si>
  <si>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</si>
  <si>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</si>
  <si>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</si>
  <si>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</si>
  <si>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</si>
  <si>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</si>
  <si>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</si>
  <si>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</si>
  <si>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</si>
  <si>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</si>
  <si>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</si>
  <si>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</si>
  <si>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</si>
  <si>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</si>
  <si>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</si>
  <si>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</si>
  <si>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</si>
  <si>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</si>
  <si>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</si>
  <si>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</si>
  <si>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</si>
  <si>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</si>
  <si>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</si>
  <si>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</si>
  <si>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</si>
  <si>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</si>
  <si>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</si>
  <si>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</si>
  <si>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</si>
  <si>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</si>
  <si>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</si>
  <si>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</si>
  <si>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</si>
  <si>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</si>
  <si>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</si>
  <si>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</si>
  <si>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</si>
  <si>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</si>
  <si>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</si>
  <si>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</si>
  <si>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</si>
  <si>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</si>
  <si>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</si>
  <si>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</si>
  <si>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</si>
  <si>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</si>
  <si>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</si>
  <si>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</si>
  <si>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</si>
  <si>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</si>
  <si>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</si>
  <si>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</si>
  <si>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</si>
  <si>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</si>
  <si>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</si>
  <si>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</si>
  <si>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</si>
  <si>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</si>
  <si>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</si>
  <si>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</si>
  <si>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</si>
  <si>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</si>
  <si>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</si>
  <si>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</si>
  <si>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</si>
  <si>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</si>
  <si>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</si>
  <si>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</si>
  <si>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</si>
  <si>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</si>
  <si>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</si>
  <si>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</si>
  <si>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</si>
  <si>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</si>
  <si>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</si>
  <si>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</si>
  <si>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</si>
  <si>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</si>
  <si>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</si>
  <si>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</si>
  <si>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</si>
  <si>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</si>
  <si>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</si>
  <si>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</si>
  <si>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</si>
  <si>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</si>
  <si>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</si>
  <si>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</si>
  <si>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</si>
  <si>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</si>
  <si>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</si>
  <si>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                                        1.Sum,Count,Average</t>
  </si>
  <si>
    <t>*Calculate the total price of all products in the dataset.</t>
  </si>
  <si>
    <t xml:space="preserve">               Formula=SUM(D2:D35)</t>
  </si>
  <si>
    <t xml:space="preserve">                The total price of all products : 10,100.00</t>
  </si>
  <si>
    <t>* Determine how many products exist in the dataset</t>
  </si>
  <si>
    <t xml:space="preserve">                 Formula=COUNT(E2:E35)</t>
  </si>
  <si>
    <t xml:space="preserve">                 The products exist in the dataset : 34</t>
  </si>
  <si>
    <t>*Calculate the avarage price of the product</t>
  </si>
  <si>
    <t xml:space="preserve">              Formula=AVERAGE(D2:D35)</t>
  </si>
  <si>
    <t xml:space="preserve">              The average price of the product : 297.05</t>
  </si>
  <si>
    <t>* Identify the minimum price among all products</t>
  </si>
  <si>
    <t xml:space="preserve">                 Formula=MIN(D2:D35)</t>
  </si>
  <si>
    <t xml:space="preserve">                 The minimum price among all products : 30</t>
  </si>
  <si>
    <t>*Identify the maximum price among all products</t>
  </si>
  <si>
    <t xml:space="preserve">                    Formula=MAX(D2:D35)</t>
  </si>
  <si>
    <t xml:space="preserve">                    The maximum price among all product :1000</t>
  </si>
  <si>
    <t xml:space="preserve">                                      2.maximun and minimum values</t>
  </si>
  <si>
    <t>*Create a new column named price range</t>
  </si>
  <si>
    <t xml:space="preserve">price rang </t>
  </si>
  <si>
    <t>* Use the IF function to categorize products based on their products</t>
  </si>
  <si>
    <t xml:space="preserve">          *If price &gt;$500 classify as high price</t>
  </si>
  <si>
    <t xml:space="preserve">          *If price &lt;$500 classify as standard price</t>
  </si>
  <si>
    <t xml:space="preserve">                 Formula=IF(D2&gt;500,"High price","standrad price")</t>
  </si>
  <si>
    <t xml:space="preserve">                             4. Conditional functions SUMIF and COUNTIF</t>
  </si>
  <si>
    <t>*Calculate the total price for products in the electronics category  using the SUMIF function</t>
  </si>
  <si>
    <t xml:space="preserve">                 Formula=SUMIF(F2:F35,"ELECTRONICS,"D2:D35)</t>
  </si>
  <si>
    <t xml:space="preserve">                The  total price of electronics price=8050</t>
  </si>
  <si>
    <t>*Determine the number of products with a price less then $100 using the COUNTIF</t>
  </si>
  <si>
    <t xml:space="preserve">                           Formula=COUNTIF(D2:D35,",100")</t>
  </si>
  <si>
    <t xml:space="preserve">                         No.of product price less than :11</t>
  </si>
  <si>
    <t xml:space="preserve">                             5. Text Formatting LEFT,RIGHT,MID</t>
  </si>
  <si>
    <t>Date</t>
  </si>
  <si>
    <t>month</t>
  </si>
  <si>
    <t>country code</t>
  </si>
  <si>
    <t>1.Create  a new colum named"day,country code,month,"to catagorize product id using the left , right , &amp;mid function</t>
  </si>
  <si>
    <t xml:space="preserve">                           Formula=LEFT(A2,2)</t>
  </si>
  <si>
    <t xml:space="preserve"> </t>
  </si>
  <si>
    <t xml:space="preserve">                           Formula=RIGHT(A2,2)</t>
  </si>
  <si>
    <t xml:space="preserve">                           Formula=MID(A2,4,2)</t>
  </si>
  <si>
    <t>I have used left, right, mid function check the empty cells as well</t>
  </si>
  <si>
    <t>3. Logical Function-IF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</si>
</sst>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sz val="14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6"/>
      <color rgb="FF000000"/>
      <name val="Arial"/>
      <family val="2"/>
      <scheme val="minor"/>
    </font>
    <font>
      <sz val="16"/>
      <color rgb="FF000000"/>
      <name val="Arial"/>
      <family val="2"/>
      <scheme val="minor"/>
    </font>
    <font>
      <b/>
      <sz val="16"/>
      <color theme="3" tint="0.249977111117893"/>
      <name val="Arial"/>
      <family val="2"/>
      <scheme val="minor"/>
    </font>
    <font>
      <b/>
      <sz val="16"/>
      <color theme="1" tint="4.9989318521683403E-2"/>
      <name val="Arial"/>
      <family val="2"/>
      <scheme val="minor"/>
    </font>
    <font>
      <sz val="16"/>
      <color theme="5" tint="-0.249977111117893"/>
      <name val="Arial"/>
      <family val="2"/>
      <scheme val="minor"/>
    </font>
    <font>
      <sz val="16"/>
      <color rgb="FFFF0000"/>
      <name val="Arial"/>
      <family val="2"/>
      <scheme val="minor"/>
    </font>
    <font>
      <sz val="8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4" fillId="0" borderId="0" xfId="0" applyFont="1"/>
    <xf numFmtId="0" fontId="3" fillId="3" borderId="0" xfId="0" applyFont="1" applyFill="1"/>
    <xf numFmtId="0" fontId="5" fillId="2" borderId="0" xfId="0" applyFont="1" applyFill="1" applyAlignment="1">
      <alignment horizontal="center"/>
    </xf>
    <xf numFmtId="0" fontId="8" fillId="0" borderId="0" xfId="0" applyFont="1"/>
    <xf numFmtId="0" fontId="7" fillId="0" borderId="0" xfId="0" applyFont="1"/>
    <xf numFmtId="164" fontId="7" fillId="0" borderId="0" xfId="0" applyNumberFormat="1" applyFont="1"/>
    <xf numFmtId="164" fontId="7" fillId="4" borderId="0" xfId="0" applyNumberFormat="1" applyFont="1" applyFill="1"/>
    <xf numFmtId="0" fontId="7" fillId="4" borderId="0" xfId="0" applyFont="1" applyFill="1"/>
    <xf numFmtId="0" fontId="9" fillId="0" borderId="0" xfId="0" applyFont="1"/>
    <xf numFmtId="164" fontId="10" fillId="0" borderId="0" xfId="0" applyNumberFormat="1" applyFont="1"/>
    <xf numFmtId="0" fontId="10" fillId="0" borderId="0" xfId="0" applyFont="1"/>
    <xf numFmtId="0" fontId="6" fillId="0" borderId="0" xfId="0" applyFont="1"/>
    <xf numFmtId="0" fontId="11" fillId="0" borderId="0" xfId="0" applyFo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0852E8-9AB9-4315-B2B7-DC4B98A2CC32}" name="Table1" displayName="Table1" ref="A1:J35" totalsRowShown="0" headerRowDxfId="11" dataDxfId="10">
  <autoFilter ref="A1:J35" xr:uid="{0A0852E8-9AB9-4315-B2B7-DC4B98A2CC32}"/>
  <tableColumns count="10">
    <tableColumn id="1" xr3:uid="{D7A74A32-59AE-40AF-BECE-C95DFF3C0D36}" name="Product ID" dataDxfId="9"/>
    <tableColumn id="2" xr3:uid="{9F589032-E12B-4F33-BAD1-827796F6E0A0}" name="Product Name" dataDxfId="8"/>
    <tableColumn id="3" xr3:uid="{B8DDF575-CAD2-47DC-BD91-D7A298D77474}" name="Brand Name" dataDxfId="7"/>
    <tableColumn id="4" xr3:uid="{E7446DE6-C2EC-420C-BA4A-201567026C62}" name="Price ($)" dataDxfId="6"/>
    <tableColumn id="5" xr3:uid="{8A6B9F6E-E585-4A66-8FAF-ACE99C4D01E3}" name="Quantity" dataDxfId="5"/>
    <tableColumn id="6" xr3:uid="{15777E5A-D60C-4FFD-AC4A-9CCFF063A0C2}" name="Category" dataDxfId="4"/>
    <tableColumn id="7" xr3:uid="{4F5A4B55-D801-4867-ACC6-C4D94EB82625}" name="price rang " dataDxfId="3">
      <calculatedColumnFormula>IF(D2&gt;500,"HIGH PRICE","STANDRAD PRICE")</calculatedColumnFormula>
    </tableColumn>
    <tableColumn id="8" xr3:uid="{57D88791-FD0D-4AAF-ADE9-8D59986F340E}" name="Date" dataDxfId="2">
      <calculatedColumnFormula>LEFT(A2,2)</calculatedColumnFormula>
    </tableColumn>
    <tableColumn id="9" xr3:uid="{30B87873-88B0-43E3-8ACB-50A1F5330526}" name="month" dataDxfId="1">
      <calculatedColumnFormula>MID(A2,4,3)</calculatedColumnFormula>
    </tableColumn>
    <tableColumn id="10" xr3:uid="{8890C747-58A9-48DF-AB77-47AF015F1BC7}" name="country code" dataDxfId="0">
      <calculatedColumnFormula>RIGHT(A2,2)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00"/>
  <sheetViews>
    <sheetView tabSelected="1" topLeftCell="F1" zoomScale="60" zoomScaleNormal="60" zoomScaleSheetLayoutView="77" workbookViewId="0">
      <selection activeCell="P1" sqref="P1"/>
    </sheetView>
  </sheetViews>
  <sheetFormatPr defaultColWidth="12.6328125" defaultRowHeight="15" customHeight="1" x14ac:dyDescent="0.35"/>
  <cols>
    <col min="2" max="2" width="14.6328125" customWidth="1"/>
    <col min="3" max="3" width="13.08984375" customWidth="1"/>
    <col min="7" max="7" width="19.36328125" customWidth="1"/>
    <col min="13" max="13" width="12.6328125" customWidth="1"/>
    <col min="14" max="14" width="76.08984375" customWidth="1"/>
    <col min="16" max="17" width="75.7265625" style="4" customWidth="1"/>
  </cols>
  <sheetData>
    <row r="1" spans="1:17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111</v>
      </c>
      <c r="H1" s="6" t="s">
        <v>124</v>
      </c>
      <c r="I1" s="1" t="s">
        <v>125</v>
      </c>
      <c r="J1" s="1" t="s">
        <v>126</v>
      </c>
      <c r="N1" s="7" t="s">
        <v>93</v>
      </c>
      <c r="P1" s="15" t="s">
        <v>133</v>
      </c>
      <c r="Q1" s="15"/>
    </row>
    <row r="2" spans="1:17" ht="15.75" customHeight="1" x14ac:dyDescent="0.4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s="5" t="str">
        <f t="shared" ref="G2:G35" si="0">IF(D2&gt;500,"HIGH PRICE","STANDRAD PRICE")</f>
        <v>HIGH PRICE</v>
      </c>
      <c r="H2" s="5" t="str">
        <f t="shared" ref="H2:H35" si="1">LEFT(A2,2)</f>
        <v>28</v>
      </c>
      <c r="I2" s="3" t="str">
        <f t="shared" ref="I2:I35" si="2">MID(A2,4,3)</f>
        <v>JAN</v>
      </c>
      <c r="J2" s="3" t="str">
        <f t="shared" ref="J2:J35" si="3">RIGHT(A2,2)</f>
        <v>US</v>
      </c>
      <c r="N2" s="8"/>
    </row>
    <row r="3" spans="1:17" ht="15.75" customHeight="1" x14ac:dyDescent="0.4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5" t="str">
        <f t="shared" si="0"/>
        <v>STANDRAD PRICE</v>
      </c>
      <c r="H3" s="5" t="str">
        <f t="shared" si="1"/>
        <v>15</v>
      </c>
      <c r="I3" s="3" t="str">
        <f t="shared" si="2"/>
        <v>FEB</v>
      </c>
      <c r="J3" s="3" t="str">
        <f t="shared" si="3"/>
        <v>US</v>
      </c>
      <c r="N3" s="8" t="s">
        <v>94</v>
      </c>
      <c r="P3" s="4" t="s">
        <v>110</v>
      </c>
    </row>
    <row r="4" spans="1:17" ht="15.75" customHeight="1" x14ac:dyDescent="0.4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5" t="str">
        <f t="shared" si="0"/>
        <v>STANDRAD PRICE</v>
      </c>
      <c r="H4" s="5" t="str">
        <f t="shared" si="1"/>
        <v>03</v>
      </c>
      <c r="I4" s="3" t="str">
        <f t="shared" si="2"/>
        <v>MAR</v>
      </c>
      <c r="J4" s="3" t="str">
        <f t="shared" si="3"/>
        <v>US</v>
      </c>
      <c r="N4" s="8"/>
      <c r="P4" s="4" t="s">
        <v>112</v>
      </c>
    </row>
    <row r="5" spans="1:17" ht="15.75" customHeight="1" x14ac:dyDescent="0.4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5" t="str">
        <f t="shared" si="0"/>
        <v>HIGH PRICE</v>
      </c>
      <c r="H5" s="5" t="str">
        <f t="shared" si="1"/>
        <v>11</v>
      </c>
      <c r="I5" s="3" t="str">
        <f t="shared" si="2"/>
        <v>APR</v>
      </c>
      <c r="J5" s="3" t="str">
        <f t="shared" si="3"/>
        <v>US</v>
      </c>
      <c r="N5" s="10" t="s">
        <v>95</v>
      </c>
      <c r="P5" s="4" t="s">
        <v>113</v>
      </c>
    </row>
    <row r="6" spans="1:17" ht="15.75" customHeight="1" x14ac:dyDescent="0.4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5" t="str">
        <f t="shared" si="0"/>
        <v>STANDRAD PRICE</v>
      </c>
      <c r="H6" s="5" t="str">
        <f t="shared" si="1"/>
        <v>22</v>
      </c>
      <c r="I6" s="3" t="str">
        <f t="shared" si="2"/>
        <v>MAY</v>
      </c>
      <c r="J6" s="3" t="str">
        <f t="shared" si="3"/>
        <v>US</v>
      </c>
      <c r="N6" s="13" t="s">
        <v>96</v>
      </c>
      <c r="P6" s="4" t="s">
        <v>114</v>
      </c>
    </row>
    <row r="7" spans="1:17" ht="15.75" customHeight="1" x14ac:dyDescent="0.4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5" t="str">
        <f t="shared" si="0"/>
        <v>STANDRAD PRICE</v>
      </c>
      <c r="H7" s="5" t="str">
        <f t="shared" si="1"/>
        <v>07</v>
      </c>
      <c r="I7" s="3" t="str">
        <f t="shared" si="2"/>
        <v>JUN</v>
      </c>
      <c r="J7" s="3" t="str">
        <f t="shared" si="3"/>
        <v>UK</v>
      </c>
      <c r="N7" s="8"/>
    </row>
    <row r="8" spans="1:17" ht="15.75" customHeight="1" x14ac:dyDescent="0.4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5" t="str">
        <f t="shared" si="0"/>
        <v>STANDRAD PRICE</v>
      </c>
      <c r="H8" s="5" t="str">
        <f t="shared" si="1"/>
        <v>19</v>
      </c>
      <c r="I8" s="3" t="str">
        <f t="shared" si="2"/>
        <v>JUL</v>
      </c>
      <c r="J8" s="3" t="str">
        <f t="shared" si="3"/>
        <v>UK</v>
      </c>
      <c r="N8" s="8"/>
      <c r="P8" s="11" t="s">
        <v>115</v>
      </c>
      <c r="Q8" s="11"/>
    </row>
    <row r="9" spans="1:17" ht="15.75" customHeight="1" x14ac:dyDescent="0.4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5" t="str">
        <f t="shared" si="0"/>
        <v>STANDRAD PRICE</v>
      </c>
      <c r="H9" s="5" t="str">
        <f t="shared" si="1"/>
        <v>23</v>
      </c>
      <c r="I9" s="3" t="str">
        <f t="shared" si="2"/>
        <v>AUG</v>
      </c>
      <c r="J9" s="3" t="str">
        <f t="shared" si="3"/>
        <v>UK</v>
      </c>
      <c r="N9" s="8" t="s">
        <v>97</v>
      </c>
      <c r="P9" s="8"/>
      <c r="Q9" s="8"/>
    </row>
    <row r="10" spans="1:17" ht="15.75" customHeight="1" x14ac:dyDescent="0.4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5" t="str">
        <f t="shared" si="0"/>
        <v>STANDRAD PRICE</v>
      </c>
      <c r="H10" s="5" t="str">
        <f t="shared" si="1"/>
        <v>05</v>
      </c>
      <c r="I10" s="3" t="str">
        <f t="shared" si="2"/>
        <v>SEP</v>
      </c>
      <c r="J10" s="3" t="str">
        <f t="shared" si="3"/>
        <v>UK</v>
      </c>
      <c r="N10" s="8"/>
      <c r="P10" s="8"/>
      <c r="Q10" s="8"/>
    </row>
    <row r="11" spans="1:17" ht="15.75" customHeight="1" x14ac:dyDescent="0.4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5" t="str">
        <f t="shared" si="0"/>
        <v>STANDRAD PRICE</v>
      </c>
      <c r="H11" s="5" t="str">
        <f t="shared" si="1"/>
        <v>14</v>
      </c>
      <c r="I11" s="3" t="str">
        <f t="shared" si="2"/>
        <v>OCT</v>
      </c>
      <c r="J11" s="3" t="str">
        <f t="shared" si="3"/>
        <v>UK</v>
      </c>
      <c r="N11" s="8">
        <f>COUNT(E2:E35)</f>
        <v>34</v>
      </c>
      <c r="P11" s="15" t="s">
        <v>116</v>
      </c>
      <c r="Q11" s="15"/>
    </row>
    <row r="12" spans="1:17" ht="15.75" customHeight="1" x14ac:dyDescent="0.4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5" t="str">
        <f t="shared" si="0"/>
        <v>HIGH PRICE</v>
      </c>
      <c r="H12" s="5" t="str">
        <f t="shared" si="1"/>
        <v>17</v>
      </c>
      <c r="I12" s="3" t="str">
        <f t="shared" si="2"/>
        <v>JUN</v>
      </c>
      <c r="J12" s="3" t="str">
        <f t="shared" si="3"/>
        <v>IN</v>
      </c>
      <c r="N12" s="11" t="s">
        <v>98</v>
      </c>
      <c r="P12" s="8"/>
      <c r="Q12" s="8"/>
    </row>
    <row r="13" spans="1:17" ht="15.75" customHeight="1" x14ac:dyDescent="0.4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5" t="str">
        <f t="shared" si="0"/>
        <v>STANDRAD PRICE</v>
      </c>
      <c r="H13" s="5" t="str">
        <f t="shared" si="1"/>
        <v>25</v>
      </c>
      <c r="I13" s="3" t="str">
        <f t="shared" si="2"/>
        <v>NOV</v>
      </c>
      <c r="J13" s="3" t="str">
        <f t="shared" si="3"/>
        <v>AU</v>
      </c>
      <c r="N13" s="14" t="s">
        <v>99</v>
      </c>
      <c r="P13" s="8" t="s">
        <v>117</v>
      </c>
      <c r="Q13" s="8"/>
    </row>
    <row r="14" spans="1:17" ht="15.75" customHeight="1" x14ac:dyDescent="0.4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5" t="str">
        <f t="shared" si="0"/>
        <v>STANDRAD PRICE</v>
      </c>
      <c r="H14" s="5" t="str">
        <f t="shared" si="1"/>
        <v>08</v>
      </c>
      <c r="I14" s="3" t="str">
        <f t="shared" si="2"/>
        <v>DEC</v>
      </c>
      <c r="J14" s="3" t="str">
        <f t="shared" si="3"/>
        <v>DE</v>
      </c>
      <c r="N14" s="8"/>
      <c r="P14" s="8"/>
      <c r="Q14" s="8"/>
    </row>
    <row r="15" spans="1:17" ht="15.75" customHeight="1" x14ac:dyDescent="0.4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5" t="str">
        <f t="shared" si="0"/>
        <v>STANDRAD PRICE</v>
      </c>
      <c r="H15" s="5" t="str">
        <f t="shared" si="1"/>
        <v>18</v>
      </c>
      <c r="I15" s="3" t="str">
        <f t="shared" si="2"/>
        <v>FEB</v>
      </c>
      <c r="J15" s="3" t="str">
        <f t="shared" si="3"/>
        <v>CA</v>
      </c>
      <c r="N15" s="8"/>
      <c r="P15" s="11" t="s">
        <v>118</v>
      </c>
      <c r="Q15" s="11"/>
    </row>
    <row r="16" spans="1:17" ht="15.75" customHeight="1" x14ac:dyDescent="0.4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5" t="str">
        <f t="shared" si="0"/>
        <v>STANDRAD PRICE</v>
      </c>
      <c r="H16" s="5" t="str">
        <f t="shared" si="1"/>
        <v>16</v>
      </c>
      <c r="I16" s="3" t="str">
        <f t="shared" si="2"/>
        <v>APR</v>
      </c>
      <c r="J16" s="3" t="str">
        <f t="shared" si="3"/>
        <v>ES</v>
      </c>
      <c r="N16" s="8" t="s">
        <v>100</v>
      </c>
      <c r="P16" s="16" t="s">
        <v>119</v>
      </c>
      <c r="Q16" s="16"/>
    </row>
    <row r="17" spans="1:17" ht="15.75" customHeight="1" x14ac:dyDescent="0.4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5" t="str">
        <f t="shared" si="0"/>
        <v>STANDRAD PRICE</v>
      </c>
      <c r="H17" s="5" t="str">
        <f t="shared" si="1"/>
        <v>21</v>
      </c>
      <c r="I17" s="3" t="str">
        <f t="shared" si="2"/>
        <v>AUG</v>
      </c>
      <c r="J17" s="3" t="str">
        <f t="shared" si="3"/>
        <v>CA</v>
      </c>
      <c r="N17" s="9">
        <f>AVERAGE(D2:D35)</f>
        <v>297.05882352941177</v>
      </c>
      <c r="P17" s="8"/>
      <c r="Q17" s="8"/>
    </row>
    <row r="18" spans="1:17" ht="15.75" customHeight="1" x14ac:dyDescent="0.4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5" t="str">
        <f t="shared" si="0"/>
        <v>STANDRAD PRICE</v>
      </c>
      <c r="H18" s="5" t="str">
        <f t="shared" si="1"/>
        <v>20</v>
      </c>
      <c r="I18" s="3" t="str">
        <f t="shared" si="2"/>
        <v>AUG</v>
      </c>
      <c r="J18" s="3" t="str">
        <f t="shared" si="3"/>
        <v>CN</v>
      </c>
      <c r="N18" s="11" t="s">
        <v>101</v>
      </c>
      <c r="P18" s="8"/>
      <c r="Q18" s="8"/>
    </row>
    <row r="19" spans="1:17" ht="15.75" customHeight="1" x14ac:dyDescent="0.4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5" t="str">
        <f t="shared" si="0"/>
        <v>HIGH PRICE</v>
      </c>
      <c r="H19" s="5" t="str">
        <f t="shared" si="1"/>
        <v>27</v>
      </c>
      <c r="I19" s="3" t="str">
        <f t="shared" si="2"/>
        <v>JAN</v>
      </c>
      <c r="J19" s="3" t="str">
        <f t="shared" si="3"/>
        <v>IT</v>
      </c>
      <c r="N19" s="13" t="s">
        <v>102</v>
      </c>
      <c r="P19" s="8" t="s">
        <v>120</v>
      </c>
      <c r="Q19" s="8"/>
    </row>
    <row r="20" spans="1:17" ht="15.75" customHeight="1" x14ac:dyDescent="0.4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5" t="str">
        <f t="shared" si="0"/>
        <v>STANDRAD PRICE</v>
      </c>
      <c r="H20" s="5" t="str">
        <f t="shared" si="1"/>
        <v>01</v>
      </c>
      <c r="I20" s="3" t="str">
        <f t="shared" si="2"/>
        <v>MAR</v>
      </c>
      <c r="J20" s="3" t="str">
        <f t="shared" si="3"/>
        <v>UK</v>
      </c>
      <c r="N20" s="8"/>
      <c r="P20" s="8"/>
      <c r="Q20" s="8"/>
    </row>
    <row r="21" spans="1:17" ht="15.75" customHeight="1" x14ac:dyDescent="0.4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5" t="str">
        <f t="shared" si="0"/>
        <v>STANDRAD PRICE</v>
      </c>
      <c r="H21" s="5" t="str">
        <f t="shared" si="1"/>
        <v>14</v>
      </c>
      <c r="I21" s="3" t="str">
        <f t="shared" si="2"/>
        <v>AUG</v>
      </c>
      <c r="J21" s="3" t="str">
        <f t="shared" si="3"/>
        <v>US</v>
      </c>
      <c r="N21" s="8"/>
      <c r="P21" s="8">
        <f>COUNTIF(D2:D35,"&lt;100")</f>
        <v>11</v>
      </c>
      <c r="Q21" s="8"/>
    </row>
    <row r="22" spans="1:17" ht="15.75" customHeight="1" x14ac:dyDescent="0.4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s="5" t="str">
        <f t="shared" si="0"/>
        <v>HIGH PRICE</v>
      </c>
      <c r="H22" s="5" t="str">
        <f t="shared" si="1"/>
        <v>14</v>
      </c>
      <c r="I22" s="3" t="str">
        <f t="shared" si="2"/>
        <v>MAY</v>
      </c>
      <c r="J22" s="3" t="str">
        <f t="shared" si="3"/>
        <v>RU</v>
      </c>
      <c r="N22" s="12" t="s">
        <v>109</v>
      </c>
      <c r="P22" s="11" t="s">
        <v>121</v>
      </c>
      <c r="Q22" s="11"/>
    </row>
    <row r="23" spans="1:17" ht="15.75" customHeight="1" x14ac:dyDescent="0.4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5" t="str">
        <f t="shared" si="0"/>
        <v>STANDRAD PRICE</v>
      </c>
      <c r="H23" s="5" t="str">
        <f t="shared" si="1"/>
        <v>09</v>
      </c>
      <c r="I23" s="3" t="str">
        <f t="shared" si="2"/>
        <v>JAN</v>
      </c>
      <c r="J23" s="3" t="str">
        <f t="shared" si="3"/>
        <v>CA</v>
      </c>
      <c r="N23" s="8"/>
      <c r="P23" s="16" t="s">
        <v>122</v>
      </c>
      <c r="Q23" s="16"/>
    </row>
    <row r="24" spans="1:17" ht="15.75" customHeight="1" x14ac:dyDescent="0.4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5" t="str">
        <f t="shared" si="0"/>
        <v>STANDRAD PRICE</v>
      </c>
      <c r="H24" s="5" t="str">
        <f t="shared" si="1"/>
        <v>19</v>
      </c>
      <c r="I24" s="3" t="str">
        <f t="shared" si="2"/>
        <v>JUL</v>
      </c>
      <c r="J24" s="3" t="str">
        <f t="shared" si="3"/>
        <v>BR</v>
      </c>
      <c r="N24" s="8"/>
    </row>
    <row r="25" spans="1:17" ht="15.75" customHeight="1" x14ac:dyDescent="0.4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s="5" t="str">
        <f t="shared" si="0"/>
        <v>STANDRAD PRICE</v>
      </c>
      <c r="H25" s="5" t="str">
        <f t="shared" si="1"/>
        <v>21</v>
      </c>
      <c r="I25" s="3" t="str">
        <f t="shared" si="2"/>
        <v>AUG</v>
      </c>
      <c r="J25" s="3" t="str">
        <f t="shared" si="3"/>
        <v>CA</v>
      </c>
      <c r="N25" s="8" t="s">
        <v>103</v>
      </c>
    </row>
    <row r="26" spans="1:17" ht="15.75" customHeight="1" x14ac:dyDescent="0.4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  <c r="G26" s="5" t="str">
        <f t="shared" si="0"/>
        <v>HIGH PRICE</v>
      </c>
      <c r="H26" s="5" t="str">
        <f t="shared" si="1"/>
        <v>29</v>
      </c>
      <c r="I26" s="3" t="str">
        <f t="shared" si="2"/>
        <v>SEP</v>
      </c>
      <c r="J26" s="3" t="str">
        <f t="shared" si="3"/>
        <v>CA</v>
      </c>
      <c r="N26" s="8">
        <f>MIN(D2:D35)</f>
        <v>30</v>
      </c>
      <c r="P26" s="15" t="s">
        <v>123</v>
      </c>
      <c r="Q26" s="15"/>
    </row>
    <row r="27" spans="1:17" ht="15.75" customHeight="1" x14ac:dyDescent="0.4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s="5" t="str">
        <f t="shared" si="0"/>
        <v>STANDRAD PRICE</v>
      </c>
      <c r="H27" s="5" t="str">
        <f t="shared" si="1"/>
        <v>03</v>
      </c>
      <c r="I27" s="3" t="str">
        <f t="shared" si="2"/>
        <v>JUN</v>
      </c>
      <c r="J27" s="3" t="str">
        <f t="shared" si="3"/>
        <v>CA</v>
      </c>
      <c r="N27" s="11" t="s">
        <v>104</v>
      </c>
      <c r="P27" s="8"/>
      <c r="Q27" s="8"/>
    </row>
    <row r="28" spans="1:17" ht="15.75" customHeight="1" x14ac:dyDescent="0.4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s="5" t="str">
        <f t="shared" si="0"/>
        <v>STANDRAD PRICE</v>
      </c>
      <c r="H28" s="5" t="str">
        <f t="shared" si="1"/>
        <v>11</v>
      </c>
      <c r="I28" s="3" t="str">
        <f t="shared" si="2"/>
        <v>JUL</v>
      </c>
      <c r="J28" s="3" t="str">
        <f t="shared" si="3"/>
        <v>CA</v>
      </c>
      <c r="N28" s="14" t="s">
        <v>105</v>
      </c>
      <c r="P28" s="8" t="s">
        <v>127</v>
      </c>
      <c r="Q28" s="8"/>
    </row>
    <row r="29" spans="1:17" ht="15.75" customHeight="1" x14ac:dyDescent="0.4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s="5" t="str">
        <f t="shared" si="0"/>
        <v>STANDRAD PRICE</v>
      </c>
      <c r="H29" s="5" t="str">
        <f t="shared" si="1"/>
        <v>16</v>
      </c>
      <c r="I29" s="3" t="str">
        <f t="shared" si="2"/>
        <v>APR</v>
      </c>
      <c r="J29" s="3" t="str">
        <f t="shared" si="3"/>
        <v>ES</v>
      </c>
      <c r="M29" t="str">
        <f>RIGHT(A2,2)</f>
        <v>US</v>
      </c>
      <c r="N29" s="8"/>
      <c r="P29" s="8"/>
      <c r="Q29" s="8"/>
    </row>
    <row r="30" spans="1:17" ht="15.75" customHeight="1" x14ac:dyDescent="0.4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  <c r="G30" s="5" t="str">
        <f t="shared" si="0"/>
        <v>STANDRAD PRICE</v>
      </c>
      <c r="H30" s="5" t="str">
        <f t="shared" si="1"/>
        <v>07</v>
      </c>
      <c r="I30" s="3" t="str">
        <f t="shared" si="2"/>
        <v>MAR</v>
      </c>
      <c r="J30" s="3" t="str">
        <f t="shared" si="3"/>
        <v>CA</v>
      </c>
      <c r="N30" s="8"/>
      <c r="P30" s="8"/>
      <c r="Q30" s="8"/>
    </row>
    <row r="31" spans="1:17" ht="15.75" customHeight="1" x14ac:dyDescent="0.4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s="5" t="str">
        <f t="shared" si="0"/>
        <v>STANDRAD PRICE</v>
      </c>
      <c r="H31" s="5" t="str">
        <f t="shared" si="1"/>
        <v>13</v>
      </c>
      <c r="I31" s="3" t="str">
        <f t="shared" si="2"/>
        <v>APR</v>
      </c>
      <c r="J31" s="3" t="str">
        <f t="shared" si="3"/>
        <v>CA</v>
      </c>
      <c r="N31" s="8" t="s">
        <v>106</v>
      </c>
      <c r="P31" s="11" t="s">
        <v>128</v>
      </c>
      <c r="Q31" s="11"/>
    </row>
    <row r="32" spans="1:17" ht="15.75" customHeight="1" x14ac:dyDescent="0.4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G32" s="5" t="str">
        <f t="shared" si="0"/>
        <v>STANDRAD PRICE</v>
      </c>
      <c r="H32" s="5" t="str">
        <f t="shared" si="1"/>
        <v>24</v>
      </c>
      <c r="I32" s="3" t="str">
        <f t="shared" si="2"/>
        <v>MAY</v>
      </c>
      <c r="J32" s="3" t="str">
        <f t="shared" si="3"/>
        <v>CA</v>
      </c>
      <c r="N32" s="8"/>
      <c r="P32" s="8" t="s">
        <v>129</v>
      </c>
      <c r="Q32" s="8"/>
    </row>
    <row r="33" spans="1:17" ht="15.75" customHeight="1" x14ac:dyDescent="0.4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s="5" t="str">
        <f t="shared" si="0"/>
        <v>STANDRAD PRICE</v>
      </c>
      <c r="H33" s="5" t="str">
        <f t="shared" si="1"/>
        <v>02</v>
      </c>
      <c r="I33" s="3" t="str">
        <f t="shared" si="2"/>
        <v>DEC</v>
      </c>
      <c r="J33" s="3" t="str">
        <f t="shared" si="3"/>
        <v>CA</v>
      </c>
      <c r="N33" s="9">
        <f>MAX(D2:D35)</f>
        <v>1000</v>
      </c>
      <c r="P33" s="8"/>
      <c r="Q33" s="8"/>
    </row>
    <row r="34" spans="1:17" ht="15.75" customHeight="1" x14ac:dyDescent="0.4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G34" s="5" t="str">
        <f t="shared" si="0"/>
        <v>HIGH PRICE</v>
      </c>
      <c r="H34" s="5" t="str">
        <f t="shared" si="1"/>
        <v>17</v>
      </c>
      <c r="I34" s="3" t="str">
        <f t="shared" si="2"/>
        <v>JUN</v>
      </c>
      <c r="J34" s="3" t="str">
        <f t="shared" si="3"/>
        <v>IN</v>
      </c>
      <c r="N34" s="11" t="s">
        <v>107</v>
      </c>
      <c r="P34" s="11" t="s">
        <v>131</v>
      </c>
      <c r="Q34" s="11"/>
    </row>
    <row r="35" spans="1:17" ht="15.75" customHeight="1" x14ac:dyDescent="0.4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s="5" t="str">
        <f t="shared" si="0"/>
        <v>STANDRAD PRICE</v>
      </c>
      <c r="H35" s="5" t="str">
        <f t="shared" si="1"/>
        <v>09</v>
      </c>
      <c r="I35" s="3" t="str">
        <f t="shared" si="2"/>
        <v>JUL</v>
      </c>
      <c r="J35" s="3" t="str">
        <f t="shared" si="3"/>
        <v>FR</v>
      </c>
      <c r="N35" s="14" t="s">
        <v>108</v>
      </c>
      <c r="P35" s="8"/>
      <c r="Q35" s="8"/>
    </row>
    <row r="36" spans="1:17" ht="15.75" customHeight="1" x14ac:dyDescent="0.4">
      <c r="P36" s="11" t="s">
        <v>130</v>
      </c>
      <c r="Q36" s="11"/>
    </row>
    <row r="37" spans="1:17" ht="15.75" customHeight="1" x14ac:dyDescent="0.35"/>
    <row r="38" spans="1:17" ht="15.75" customHeight="1" x14ac:dyDescent="0.4">
      <c r="P38" s="14" t="s">
        <v>132</v>
      </c>
      <c r="Q38" s="14"/>
    </row>
    <row r="39" spans="1:17" ht="15.75" customHeight="1" x14ac:dyDescent="0.35"/>
    <row r="40" spans="1:17" ht="15.75" customHeight="1" x14ac:dyDescent="0.35"/>
    <row r="41" spans="1:17" ht="15.75" customHeight="1" x14ac:dyDescent="0.35"/>
    <row r="42" spans="1:17" ht="15.75" customHeight="1" x14ac:dyDescent="0.35"/>
    <row r="43" spans="1:17" ht="15.75" customHeight="1" x14ac:dyDescent="0.35"/>
    <row r="44" spans="1:17" ht="15.75" customHeight="1" x14ac:dyDescent="0.35"/>
    <row r="45" spans="1:17" ht="15.75" customHeight="1" x14ac:dyDescent="0.35"/>
    <row r="46" spans="1:17" ht="15.75" customHeight="1" x14ac:dyDescent="0.35"/>
    <row r="47" spans="1:17" ht="15.75" customHeight="1" x14ac:dyDescent="0.35"/>
    <row r="48" spans="1:17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1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Sajeeth Jeba</dc:creator>
  <cp:lastModifiedBy>Sajeeth Jeba</cp:lastModifiedBy>
  <dcterms:created xsi:type="dcterms:W3CDTF">2026-05-25T05:31:48Z</dcterms:created>
  <dcterms:modified xsi:type="dcterms:W3CDTF">2026-05-25T07:07:39Z</dcterms:modified>
</cp:coreProperties>
</file>